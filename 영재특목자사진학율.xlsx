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9bcc4058337e36/바탕 화면/Suhcab/DSHS/프로젝트/공공데이터/"/>
    </mc:Choice>
  </mc:AlternateContent>
  <xr:revisionPtr revIDLastSave="8" documentId="8_{6EC92984-F31C-422A-BE38-03DA6D07F7C3}" xr6:coauthVersionLast="47" xr6:coauthVersionMax="47" xr10:uidLastSave="{60703D74-BA47-44D3-8415-7294AEF8D2F3}"/>
  <bookViews>
    <workbookView xWindow="-98" yWindow="-98" windowWidth="21795" windowHeight="12975" xr2:uid="{0078A6DB-F93F-4029-B153-0CB984870D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33" i="1" l="1"/>
  <c r="S33" i="1"/>
  <c r="T34" i="1" s="1"/>
  <c r="P33" i="1"/>
  <c r="O33" i="1"/>
  <c r="P34" i="1" s="1"/>
  <c r="L33" i="1"/>
  <c r="K33" i="1"/>
  <c r="L34" i="1" s="1"/>
  <c r="H33" i="1"/>
  <c r="G33" i="1"/>
  <c r="H34" i="1" s="1"/>
  <c r="D34" i="1"/>
  <c r="D33" i="1"/>
  <c r="C33" i="1"/>
</calcChain>
</file>

<file path=xl/sharedStrings.xml><?xml version="1.0" encoding="utf-8"?>
<sst xmlns="http://schemas.openxmlformats.org/spreadsheetml/2006/main" count="102" uniqueCount="95">
  <si>
    <t>서구</t>
    <phoneticPr fontId="1" type="noConversion"/>
  </si>
  <si>
    <t>탄방</t>
    <phoneticPr fontId="1" type="noConversion"/>
  </si>
  <si>
    <t>월평</t>
    <phoneticPr fontId="1" type="noConversion"/>
  </si>
  <si>
    <t>삼천</t>
    <phoneticPr fontId="1" type="noConversion"/>
  </si>
  <si>
    <t>문정</t>
    <phoneticPr fontId="1" type="noConversion"/>
  </si>
  <si>
    <t>갑천</t>
    <phoneticPr fontId="1" type="noConversion"/>
  </si>
  <si>
    <t>도안</t>
    <phoneticPr fontId="1" type="noConversion"/>
  </si>
  <si>
    <t>버드내</t>
    <phoneticPr fontId="1" type="noConversion"/>
  </si>
  <si>
    <t>변동</t>
    <phoneticPr fontId="1" type="noConversion"/>
  </si>
  <si>
    <t>남선</t>
    <phoneticPr fontId="1" type="noConversion"/>
  </si>
  <si>
    <t>괴정</t>
    <phoneticPr fontId="1" type="noConversion"/>
  </si>
  <si>
    <t>관저</t>
    <phoneticPr fontId="1" type="noConversion"/>
  </si>
  <si>
    <t>내동</t>
    <phoneticPr fontId="1" type="noConversion"/>
  </si>
  <si>
    <t>신계</t>
    <phoneticPr fontId="1" type="noConversion"/>
  </si>
  <si>
    <t>동방여자</t>
    <phoneticPr fontId="1" type="noConversion"/>
  </si>
  <si>
    <t>둔원</t>
    <phoneticPr fontId="1" type="noConversion"/>
  </si>
  <si>
    <t>둔산</t>
    <phoneticPr fontId="1" type="noConversion"/>
  </si>
  <si>
    <t>대신</t>
    <phoneticPr fontId="1" type="noConversion"/>
  </si>
  <si>
    <t>도마</t>
    <phoneticPr fontId="1" type="noConversion"/>
  </si>
  <si>
    <t>만년</t>
    <phoneticPr fontId="1" type="noConversion"/>
  </si>
  <si>
    <t>봉우</t>
    <phoneticPr fontId="1" type="noConversion"/>
  </si>
  <si>
    <t>느리울</t>
    <phoneticPr fontId="1" type="noConversion"/>
  </si>
  <si>
    <t>구봉</t>
    <phoneticPr fontId="1" type="noConversion"/>
  </si>
  <si>
    <t>삼육</t>
    <phoneticPr fontId="1" type="noConversion"/>
  </si>
  <si>
    <t>기성</t>
    <phoneticPr fontId="1" type="noConversion"/>
  </si>
  <si>
    <t>서</t>
    <phoneticPr fontId="1" type="noConversion"/>
  </si>
  <si>
    <t>정림</t>
    <phoneticPr fontId="1" type="noConversion"/>
  </si>
  <si>
    <t>유성</t>
    <phoneticPr fontId="1" type="noConversion"/>
  </si>
  <si>
    <t>대덕</t>
    <phoneticPr fontId="1" type="noConversion"/>
  </si>
  <si>
    <t>어은</t>
    <phoneticPr fontId="1" type="noConversion"/>
  </si>
  <si>
    <t>전민</t>
    <phoneticPr fontId="1" type="noConversion"/>
  </si>
  <si>
    <t>지족</t>
    <phoneticPr fontId="1" type="noConversion"/>
  </si>
  <si>
    <t>문지</t>
    <phoneticPr fontId="1" type="noConversion"/>
  </si>
  <si>
    <t>관평</t>
    <phoneticPr fontId="1" type="noConversion"/>
  </si>
  <si>
    <t>외삼</t>
    <phoneticPr fontId="1" type="noConversion"/>
  </si>
  <si>
    <t>노은</t>
    <phoneticPr fontId="1" type="noConversion"/>
  </si>
  <si>
    <t>두리</t>
    <phoneticPr fontId="1" type="noConversion"/>
  </si>
  <si>
    <t>동화</t>
    <phoneticPr fontId="1" type="noConversion"/>
  </si>
  <si>
    <t>봉명</t>
    <phoneticPr fontId="1" type="noConversion"/>
  </si>
  <si>
    <t>덕명</t>
    <phoneticPr fontId="1" type="noConversion"/>
  </si>
  <si>
    <t>성덕</t>
    <phoneticPr fontId="1" type="noConversion"/>
  </si>
  <si>
    <t>원신흥</t>
    <phoneticPr fontId="1" type="noConversion"/>
  </si>
  <si>
    <t>하기</t>
    <phoneticPr fontId="1" type="noConversion"/>
  </si>
  <si>
    <t>장대</t>
    <phoneticPr fontId="1" type="noConversion"/>
  </si>
  <si>
    <t>송강</t>
    <phoneticPr fontId="1" type="noConversion"/>
  </si>
  <si>
    <t>새미래</t>
    <phoneticPr fontId="1" type="noConversion"/>
  </si>
  <si>
    <t>진잠</t>
    <phoneticPr fontId="1" type="noConversion"/>
  </si>
  <si>
    <t>자운</t>
    <phoneticPr fontId="1" type="noConversion"/>
  </si>
  <si>
    <t>중구</t>
    <phoneticPr fontId="1" type="noConversion"/>
  </si>
  <si>
    <t>글꽃</t>
    <phoneticPr fontId="1" type="noConversion"/>
  </si>
  <si>
    <t>대전</t>
    <phoneticPr fontId="1" type="noConversion"/>
  </si>
  <si>
    <t>충남여자</t>
    <phoneticPr fontId="1" type="noConversion"/>
  </si>
  <si>
    <t>태평</t>
    <phoneticPr fontId="1" type="noConversion"/>
  </si>
  <si>
    <t>호수돈</t>
    <phoneticPr fontId="1" type="noConversion"/>
  </si>
  <si>
    <t>대전여자</t>
    <phoneticPr fontId="1" type="noConversion"/>
  </si>
  <si>
    <t>대성</t>
    <phoneticPr fontId="1" type="noConversion"/>
  </si>
  <si>
    <t>신일</t>
    <phoneticPr fontId="1" type="noConversion"/>
  </si>
  <si>
    <t>대문</t>
    <phoneticPr fontId="1" type="noConversion"/>
  </si>
  <si>
    <t>동산</t>
    <phoneticPr fontId="1" type="noConversion"/>
  </si>
  <si>
    <t>중앙</t>
    <phoneticPr fontId="1" type="noConversion"/>
  </si>
  <si>
    <t>동명</t>
    <phoneticPr fontId="1" type="noConversion"/>
  </si>
  <si>
    <t>동구</t>
    <phoneticPr fontId="1" type="noConversion"/>
  </si>
  <si>
    <t>대성여자</t>
    <phoneticPr fontId="1" type="noConversion"/>
  </si>
  <si>
    <t>한밭여자</t>
    <phoneticPr fontId="1" type="noConversion"/>
  </si>
  <si>
    <t>용운</t>
    <phoneticPr fontId="1" type="noConversion"/>
  </si>
  <si>
    <t>보문</t>
    <phoneticPr fontId="1" type="noConversion"/>
  </si>
  <si>
    <t>가오</t>
    <phoneticPr fontId="1" type="noConversion"/>
  </si>
  <si>
    <t>가양</t>
    <phoneticPr fontId="1" type="noConversion"/>
  </si>
  <si>
    <t>우송</t>
    <phoneticPr fontId="1" type="noConversion"/>
  </si>
  <si>
    <t>동대전</t>
    <phoneticPr fontId="1" type="noConversion"/>
  </si>
  <si>
    <t>충남</t>
    <phoneticPr fontId="1" type="noConversion"/>
  </si>
  <si>
    <t>은어송</t>
    <phoneticPr fontId="1" type="noConversion"/>
  </si>
  <si>
    <t>동신</t>
    <phoneticPr fontId="1" type="noConversion"/>
  </si>
  <si>
    <t>한밭</t>
    <phoneticPr fontId="1" type="noConversion"/>
  </si>
  <si>
    <t>대덕구</t>
    <phoneticPr fontId="1" type="noConversion"/>
  </si>
  <si>
    <t>대청</t>
    <phoneticPr fontId="1" type="noConversion"/>
  </si>
  <si>
    <t>대화</t>
    <phoneticPr fontId="1" type="noConversion"/>
  </si>
  <si>
    <t>송촌</t>
    <phoneticPr fontId="1" type="noConversion"/>
  </si>
  <si>
    <t>매봉</t>
    <phoneticPr fontId="1" type="noConversion"/>
  </si>
  <si>
    <t>용전</t>
    <phoneticPr fontId="1" type="noConversion"/>
  </si>
  <si>
    <t>신탄진</t>
    <phoneticPr fontId="1" type="noConversion"/>
  </si>
  <si>
    <t>법동</t>
    <phoneticPr fontId="1" type="noConversion"/>
  </si>
  <si>
    <t>신탄중앙</t>
    <phoneticPr fontId="1" type="noConversion"/>
  </si>
  <si>
    <t>회덕</t>
    <phoneticPr fontId="1" type="noConversion"/>
  </si>
  <si>
    <t>오정</t>
    <phoneticPr fontId="1" type="noConversion"/>
  </si>
  <si>
    <t>중리</t>
    <phoneticPr fontId="1" type="noConversion"/>
  </si>
  <si>
    <t>영특자</t>
    <phoneticPr fontId="1" type="noConversion"/>
  </si>
  <si>
    <t>전체</t>
    <phoneticPr fontId="1" type="noConversion"/>
  </si>
  <si>
    <t>가수원</t>
    <phoneticPr fontId="1" type="noConversion"/>
  </si>
  <si>
    <t>갈마</t>
    <phoneticPr fontId="1" type="noConversion"/>
  </si>
  <si>
    <t>봉산</t>
    <phoneticPr fontId="1" type="noConversion"/>
  </si>
  <si>
    <t>체육</t>
    <phoneticPr fontId="1" type="noConversion"/>
  </si>
  <si>
    <t>문화여자</t>
    <phoneticPr fontId="1" type="noConversion"/>
  </si>
  <si>
    <t>청란여자</t>
    <phoneticPr fontId="1" type="noConversion"/>
  </si>
  <si>
    <t>경덕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</si>
</sst>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0D67-1E71-4B75-84DB-F2810801DF13}">
  <dimension ref="B3:T34"/>
  <sheetViews>
    <sheetView tabSelected="1" zoomScale="50" workbookViewId="0">
      <selection activeCell="U29" sqref="U29"/>
    </sheetView>
  </sheetViews>
  <sheetFormatPr defaultRowHeight="16.899999999999999" x14ac:dyDescent="0.6"/>
  <sheetData>
    <row r="3" spans="2:20" x14ac:dyDescent="0.6">
      <c r="B3" t="s">
        <v>0</v>
      </c>
      <c r="C3" t="s">
        <v>86</v>
      </c>
      <c r="D3" t="s">
        <v>87</v>
      </c>
      <c r="F3" t="s">
        <v>27</v>
      </c>
      <c r="G3" t="s">
        <v>86</v>
      </c>
      <c r="H3" t="s">
        <v>87</v>
      </c>
      <c r="J3" t="s">
        <v>48</v>
      </c>
      <c r="K3" t="s">
        <v>86</v>
      </c>
      <c r="L3" t="s">
        <v>87</v>
      </c>
      <c r="N3" t="s">
        <v>61</v>
      </c>
      <c r="R3" t="s">
        <v>74</v>
      </c>
      <c r="S3" t="s">
        <v>86</v>
      </c>
      <c r="T3" t="s">
        <v>87</v>
      </c>
    </row>
    <row r="4" spans="2:20" x14ac:dyDescent="0.6">
      <c r="B4" t="s">
        <v>1</v>
      </c>
      <c r="C4">
        <v>65</v>
      </c>
      <c r="D4">
        <v>373</v>
      </c>
      <c r="F4" t="s">
        <v>28</v>
      </c>
      <c r="G4">
        <v>48</v>
      </c>
      <c r="H4">
        <v>162</v>
      </c>
      <c r="J4" t="s">
        <v>49</v>
      </c>
      <c r="K4">
        <v>31</v>
      </c>
      <c r="L4">
        <v>290</v>
      </c>
      <c r="N4" t="s">
        <v>62</v>
      </c>
      <c r="O4">
        <v>2</v>
      </c>
      <c r="P4">
        <v>72</v>
      </c>
      <c r="R4" t="s">
        <v>75</v>
      </c>
      <c r="S4">
        <v>9</v>
      </c>
      <c r="T4">
        <v>162</v>
      </c>
    </row>
    <row r="5" spans="2:20" x14ac:dyDescent="0.6">
      <c r="B5" t="s">
        <v>2</v>
      </c>
      <c r="C5">
        <v>7</v>
      </c>
      <c r="D5">
        <v>79</v>
      </c>
      <c r="F5" t="s">
        <v>29</v>
      </c>
      <c r="G5">
        <v>28</v>
      </c>
      <c r="H5">
        <v>139</v>
      </c>
      <c r="J5" t="s">
        <v>50</v>
      </c>
      <c r="K5">
        <v>9</v>
      </c>
      <c r="L5">
        <v>102</v>
      </c>
      <c r="N5" t="s">
        <v>63</v>
      </c>
      <c r="O5">
        <v>2</v>
      </c>
      <c r="P5">
        <v>106</v>
      </c>
      <c r="R5" t="s">
        <v>76</v>
      </c>
      <c r="S5">
        <v>3</v>
      </c>
      <c r="T5">
        <v>68</v>
      </c>
    </row>
    <row r="6" spans="2:20" x14ac:dyDescent="0.6">
      <c r="B6" t="s">
        <v>3</v>
      </c>
      <c r="C6">
        <v>49</v>
      </c>
      <c r="D6">
        <v>335</v>
      </c>
      <c r="F6" t="s">
        <v>30</v>
      </c>
      <c r="G6">
        <v>37</v>
      </c>
      <c r="H6">
        <v>195</v>
      </c>
      <c r="J6" t="s">
        <v>51</v>
      </c>
      <c r="K6">
        <v>7</v>
      </c>
      <c r="L6">
        <v>318</v>
      </c>
      <c r="N6" t="s">
        <v>64</v>
      </c>
      <c r="O6">
        <v>5</v>
      </c>
      <c r="P6">
        <v>138</v>
      </c>
      <c r="R6" t="s">
        <v>77</v>
      </c>
      <c r="S6">
        <v>10</v>
      </c>
      <c r="T6">
        <v>234</v>
      </c>
    </row>
    <row r="7" spans="2:20" x14ac:dyDescent="0.6">
      <c r="B7" t="s">
        <v>4</v>
      </c>
      <c r="C7">
        <v>74</v>
      </c>
      <c r="D7">
        <v>371</v>
      </c>
      <c r="F7" t="s">
        <v>31</v>
      </c>
      <c r="G7">
        <v>22</v>
      </c>
      <c r="H7">
        <v>196</v>
      </c>
      <c r="J7" t="s">
        <v>52</v>
      </c>
      <c r="K7">
        <v>16</v>
      </c>
      <c r="L7">
        <v>150</v>
      </c>
      <c r="N7" t="s">
        <v>65</v>
      </c>
      <c r="O7">
        <v>5</v>
      </c>
      <c r="P7">
        <v>75</v>
      </c>
      <c r="R7" t="s">
        <v>78</v>
      </c>
      <c r="S7">
        <v>12</v>
      </c>
      <c r="T7">
        <v>246</v>
      </c>
    </row>
    <row r="8" spans="2:20" x14ac:dyDescent="0.6">
      <c r="B8" t="s">
        <v>5</v>
      </c>
      <c r="C8">
        <v>32</v>
      </c>
      <c r="D8">
        <v>243</v>
      </c>
      <c r="F8" t="s">
        <v>32</v>
      </c>
      <c r="G8">
        <v>7</v>
      </c>
      <c r="H8">
        <v>70</v>
      </c>
      <c r="J8" t="s">
        <v>53</v>
      </c>
      <c r="K8">
        <v>1</v>
      </c>
      <c r="L8">
        <v>78</v>
      </c>
      <c r="N8" t="s">
        <v>66</v>
      </c>
      <c r="O8">
        <v>9</v>
      </c>
      <c r="P8">
        <v>167</v>
      </c>
      <c r="R8" t="s">
        <v>79</v>
      </c>
      <c r="S8">
        <v>2</v>
      </c>
      <c r="T8">
        <v>129</v>
      </c>
    </row>
    <row r="9" spans="2:20" x14ac:dyDescent="0.6">
      <c r="B9" t="s">
        <v>6</v>
      </c>
      <c r="C9">
        <v>29</v>
      </c>
      <c r="D9">
        <v>243</v>
      </c>
      <c r="F9" t="s">
        <v>33</v>
      </c>
      <c r="G9">
        <v>33</v>
      </c>
      <c r="H9">
        <v>210</v>
      </c>
      <c r="J9" t="s">
        <v>54</v>
      </c>
      <c r="K9">
        <v>2</v>
      </c>
      <c r="L9">
        <v>159</v>
      </c>
      <c r="N9" t="s">
        <v>67</v>
      </c>
      <c r="O9">
        <v>1</v>
      </c>
      <c r="P9">
        <v>159</v>
      </c>
      <c r="R9" t="s">
        <v>80</v>
      </c>
      <c r="S9">
        <v>2</v>
      </c>
      <c r="T9">
        <v>137</v>
      </c>
    </row>
    <row r="10" spans="2:20" x14ac:dyDescent="0.6">
      <c r="B10" t="s">
        <v>7</v>
      </c>
      <c r="C10">
        <v>14</v>
      </c>
      <c r="D10">
        <v>269</v>
      </c>
      <c r="F10" t="s">
        <v>27</v>
      </c>
      <c r="G10">
        <v>45</v>
      </c>
      <c r="H10">
        <v>275</v>
      </c>
      <c r="J10" t="s">
        <v>55</v>
      </c>
      <c r="K10">
        <v>39</v>
      </c>
      <c r="L10">
        <v>162</v>
      </c>
      <c r="N10" t="s">
        <v>68</v>
      </c>
      <c r="O10">
        <v>2</v>
      </c>
      <c r="P10">
        <v>84</v>
      </c>
      <c r="R10" t="s">
        <v>81</v>
      </c>
      <c r="S10">
        <v>1</v>
      </c>
      <c r="T10">
        <v>138</v>
      </c>
    </row>
    <row r="11" spans="2:20" x14ac:dyDescent="0.6">
      <c r="B11" t="s">
        <v>8</v>
      </c>
      <c r="C11">
        <v>7</v>
      </c>
      <c r="D11">
        <v>79</v>
      </c>
      <c r="F11" t="s">
        <v>34</v>
      </c>
      <c r="G11">
        <v>50</v>
      </c>
      <c r="H11">
        <v>266</v>
      </c>
      <c r="J11" t="s">
        <v>56</v>
      </c>
      <c r="K11">
        <v>1</v>
      </c>
      <c r="L11">
        <v>83</v>
      </c>
      <c r="N11" t="s">
        <v>69</v>
      </c>
      <c r="O11">
        <v>1</v>
      </c>
      <c r="P11">
        <v>80</v>
      </c>
      <c r="R11" t="s">
        <v>82</v>
      </c>
      <c r="S11">
        <v>1</v>
      </c>
      <c r="T11">
        <v>76</v>
      </c>
    </row>
    <row r="12" spans="2:20" x14ac:dyDescent="0.6">
      <c r="B12" t="s">
        <v>9</v>
      </c>
      <c r="C12">
        <v>4</v>
      </c>
      <c r="D12">
        <v>58</v>
      </c>
      <c r="F12" t="s">
        <v>35</v>
      </c>
      <c r="G12">
        <v>46</v>
      </c>
      <c r="H12">
        <v>270</v>
      </c>
      <c r="J12" t="s">
        <v>57</v>
      </c>
      <c r="K12">
        <v>1</v>
      </c>
      <c r="L12">
        <v>53</v>
      </c>
      <c r="N12" t="s">
        <v>70</v>
      </c>
      <c r="O12">
        <v>7</v>
      </c>
      <c r="P12">
        <v>225</v>
      </c>
      <c r="R12" t="s">
        <v>83</v>
      </c>
      <c r="S12">
        <v>1</v>
      </c>
      <c r="T12">
        <v>54</v>
      </c>
    </row>
    <row r="13" spans="2:20" x14ac:dyDescent="0.6">
      <c r="B13" t="s">
        <v>10</v>
      </c>
      <c r="C13">
        <v>10</v>
      </c>
      <c r="D13">
        <v>184</v>
      </c>
      <c r="F13" t="s">
        <v>36</v>
      </c>
      <c r="G13">
        <v>14</v>
      </c>
      <c r="H13">
        <v>177</v>
      </c>
      <c r="J13" t="s">
        <v>58</v>
      </c>
      <c r="K13">
        <v>9</v>
      </c>
      <c r="L13">
        <v>122</v>
      </c>
      <c r="N13" t="s">
        <v>71</v>
      </c>
      <c r="O13">
        <v>5</v>
      </c>
      <c r="P13">
        <v>221</v>
      </c>
      <c r="R13" t="s">
        <v>84</v>
      </c>
      <c r="S13">
        <v>1</v>
      </c>
      <c r="T13">
        <v>40</v>
      </c>
    </row>
    <row r="14" spans="2:20" x14ac:dyDescent="0.6">
      <c r="B14" t="s">
        <v>11</v>
      </c>
      <c r="C14">
        <v>17</v>
      </c>
      <c r="D14">
        <v>216</v>
      </c>
      <c r="F14" t="s">
        <v>37</v>
      </c>
      <c r="G14">
        <v>26</v>
      </c>
      <c r="H14">
        <v>200</v>
      </c>
      <c r="J14" t="s">
        <v>59</v>
      </c>
      <c r="K14">
        <v>5</v>
      </c>
      <c r="L14">
        <v>82</v>
      </c>
      <c r="N14" t="s">
        <v>72</v>
      </c>
      <c r="O14">
        <v>1</v>
      </c>
      <c r="P14">
        <v>24</v>
      </c>
      <c r="R14" t="s">
        <v>85</v>
      </c>
      <c r="S14">
        <v>2</v>
      </c>
      <c r="T14">
        <v>46</v>
      </c>
    </row>
    <row r="15" spans="2:20" x14ac:dyDescent="0.6">
      <c r="B15" t="s">
        <v>12</v>
      </c>
      <c r="C15">
        <v>12</v>
      </c>
      <c r="D15">
        <v>168</v>
      </c>
      <c r="F15" t="s">
        <v>38</v>
      </c>
      <c r="G15">
        <v>26</v>
      </c>
      <c r="H15">
        <v>228</v>
      </c>
      <c r="J15" t="s">
        <v>60</v>
      </c>
      <c r="K15">
        <v>3</v>
      </c>
      <c r="L15">
        <v>24</v>
      </c>
      <c r="N15" t="s">
        <v>73</v>
      </c>
      <c r="O15">
        <v>1</v>
      </c>
      <c r="P15">
        <v>22</v>
      </c>
      <c r="R15" t="s">
        <v>94</v>
      </c>
      <c r="S15">
        <v>0</v>
      </c>
      <c r="T15">
        <v>41</v>
      </c>
    </row>
    <row r="16" spans="2:20" x14ac:dyDescent="0.6">
      <c r="B16" t="s">
        <v>13</v>
      </c>
      <c r="C16">
        <v>8</v>
      </c>
      <c r="D16">
        <v>189</v>
      </c>
      <c r="F16" t="s">
        <v>39</v>
      </c>
      <c r="G16">
        <v>15</v>
      </c>
      <c r="H16">
        <v>137</v>
      </c>
      <c r="J16" t="s">
        <v>92</v>
      </c>
      <c r="K16">
        <v>0</v>
      </c>
      <c r="L16">
        <v>68</v>
      </c>
    </row>
    <row r="17" spans="2:12" x14ac:dyDescent="0.6">
      <c r="B17" t="s">
        <v>14</v>
      </c>
      <c r="C17">
        <v>1</v>
      </c>
      <c r="D17">
        <v>106</v>
      </c>
      <c r="F17" t="s">
        <v>40</v>
      </c>
      <c r="G17">
        <v>9</v>
      </c>
      <c r="H17">
        <v>104</v>
      </c>
      <c r="J17" t="s">
        <v>93</v>
      </c>
      <c r="K17">
        <v>0</v>
      </c>
      <c r="L17">
        <v>14</v>
      </c>
    </row>
    <row r="18" spans="2:12" x14ac:dyDescent="0.6">
      <c r="B18" t="s">
        <v>15</v>
      </c>
      <c r="C18">
        <v>13</v>
      </c>
      <c r="D18">
        <v>154</v>
      </c>
      <c r="F18" t="s">
        <v>41</v>
      </c>
      <c r="G18">
        <v>40</v>
      </c>
      <c r="H18">
        <v>312</v>
      </c>
    </row>
    <row r="19" spans="2:12" x14ac:dyDescent="0.6">
      <c r="B19" t="s">
        <v>16</v>
      </c>
      <c r="C19">
        <v>8</v>
      </c>
      <c r="D19">
        <v>163</v>
      </c>
      <c r="F19" t="s">
        <v>42</v>
      </c>
      <c r="G19">
        <v>18</v>
      </c>
      <c r="H19">
        <v>156</v>
      </c>
    </row>
    <row r="20" spans="2:12" x14ac:dyDescent="0.6">
      <c r="B20" t="s">
        <v>17</v>
      </c>
      <c r="C20">
        <v>16</v>
      </c>
      <c r="D20">
        <v>102</v>
      </c>
      <c r="F20" t="s">
        <v>43</v>
      </c>
      <c r="G20">
        <v>11</v>
      </c>
      <c r="H20">
        <v>80</v>
      </c>
    </row>
    <row r="21" spans="2:12" x14ac:dyDescent="0.6">
      <c r="B21" t="s">
        <v>18</v>
      </c>
      <c r="C21">
        <v>5</v>
      </c>
      <c r="D21">
        <v>77</v>
      </c>
      <c r="F21" t="s">
        <v>44</v>
      </c>
      <c r="G21">
        <v>3</v>
      </c>
      <c r="H21">
        <v>108</v>
      </c>
    </row>
    <row r="22" spans="2:12" x14ac:dyDescent="0.6">
      <c r="B22" t="s">
        <v>19</v>
      </c>
      <c r="C22">
        <v>9</v>
      </c>
      <c r="D22">
        <v>71</v>
      </c>
      <c r="F22" t="s">
        <v>45</v>
      </c>
      <c r="G22">
        <v>10</v>
      </c>
      <c r="H22">
        <v>123</v>
      </c>
    </row>
    <row r="23" spans="2:12" x14ac:dyDescent="0.6">
      <c r="B23" t="s">
        <v>20</v>
      </c>
      <c r="C23">
        <v>11</v>
      </c>
      <c r="D23">
        <v>212</v>
      </c>
      <c r="F23" t="s">
        <v>46</v>
      </c>
      <c r="G23">
        <v>5</v>
      </c>
      <c r="H23">
        <v>81</v>
      </c>
    </row>
    <row r="24" spans="2:12" x14ac:dyDescent="0.6">
      <c r="B24" t="s">
        <v>21</v>
      </c>
      <c r="C24">
        <v>5</v>
      </c>
      <c r="D24">
        <v>209</v>
      </c>
      <c r="F24" t="s">
        <v>47</v>
      </c>
      <c r="G24">
        <v>3</v>
      </c>
      <c r="H24">
        <v>29</v>
      </c>
    </row>
    <row r="25" spans="2:12" x14ac:dyDescent="0.6">
      <c r="B25" t="s">
        <v>22</v>
      </c>
      <c r="C25">
        <v>12</v>
      </c>
      <c r="D25">
        <v>199</v>
      </c>
      <c r="F25" t="s">
        <v>91</v>
      </c>
      <c r="G25">
        <v>0</v>
      </c>
      <c r="H25">
        <v>20</v>
      </c>
    </row>
    <row r="26" spans="2:12" x14ac:dyDescent="0.6">
      <c r="B26" t="s">
        <v>23</v>
      </c>
      <c r="C26">
        <v>11</v>
      </c>
      <c r="D26">
        <v>49</v>
      </c>
    </row>
    <row r="27" spans="2:12" x14ac:dyDescent="0.6">
      <c r="B27" t="s">
        <v>24</v>
      </c>
      <c r="C27">
        <v>2</v>
      </c>
      <c r="D27">
        <v>16</v>
      </c>
    </row>
    <row r="28" spans="2:12" x14ac:dyDescent="0.6">
      <c r="B28" t="s">
        <v>25</v>
      </c>
      <c r="C28">
        <v>1</v>
      </c>
      <c r="D28">
        <v>46</v>
      </c>
    </row>
    <row r="29" spans="2:12" x14ac:dyDescent="0.6">
      <c r="B29" t="s">
        <v>26</v>
      </c>
      <c r="C29">
        <v>1</v>
      </c>
      <c r="D29">
        <v>49</v>
      </c>
    </row>
    <row r="30" spans="2:12" x14ac:dyDescent="0.6">
      <c r="B30" t="s">
        <v>88</v>
      </c>
      <c r="C30">
        <v>0</v>
      </c>
      <c r="D30">
        <v>59</v>
      </c>
    </row>
    <row r="31" spans="2:12" x14ac:dyDescent="0.6">
      <c r="B31" t="s">
        <v>89</v>
      </c>
      <c r="C31">
        <v>0</v>
      </c>
      <c r="D31">
        <v>32</v>
      </c>
    </row>
    <row r="32" spans="2:12" x14ac:dyDescent="0.6">
      <c r="B32" t="s">
        <v>90</v>
      </c>
      <c r="C32">
        <v>0</v>
      </c>
      <c r="D32">
        <v>47</v>
      </c>
    </row>
    <row r="33" spans="3:20" x14ac:dyDescent="0.6">
      <c r="C33">
        <f>SUM(C4:C32)</f>
        <v>423</v>
      </c>
      <c r="D33">
        <f>SUM(D4:D32)</f>
        <v>4398</v>
      </c>
      <c r="G33">
        <f>SUM(G4:G32)</f>
        <v>496</v>
      </c>
      <c r="H33">
        <f>SUM(H4:H32)</f>
        <v>3538</v>
      </c>
      <c r="K33">
        <f>SUM(K4:K32)</f>
        <v>124</v>
      </c>
      <c r="L33">
        <f>SUM(L4:L32)</f>
        <v>1705</v>
      </c>
      <c r="O33">
        <f>SUM(O4:O32)</f>
        <v>41</v>
      </c>
      <c r="P33">
        <f>SUM(P4:P32)</f>
        <v>1373</v>
      </c>
      <c r="S33">
        <f>SUM(S4:S32)</f>
        <v>44</v>
      </c>
      <c r="T33">
        <f>SUM(T4:T32)</f>
        <v>1371</v>
      </c>
    </row>
    <row r="34" spans="3:20" x14ac:dyDescent="0.6">
      <c r="D34">
        <f>C33*100/D33</f>
        <v>9.6180081855388817</v>
      </c>
      <c r="H34">
        <f>G33*100/H33</f>
        <v>14.019219898247597</v>
      </c>
      <c r="L34">
        <f>K33*100/L33</f>
        <v>7.2727272727272725</v>
      </c>
      <c r="P34">
        <f>O33*100/P33</f>
        <v>2.9861616897305172</v>
      </c>
      <c r="T34">
        <f>S33*100/T33</f>
        <v>3.2093362509117433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주성 백</dc:creator>
  <cp:lastModifiedBy>주성 백</cp:lastModifiedBy>
  <dcterms:created xsi:type="dcterms:W3CDTF">2026-05-27T04:46:14Z</dcterms:created>
  <dcterms:modified xsi:type="dcterms:W3CDTF">2026-05-27T05:03:50Z</dcterms:modified>
</cp:coreProperties>
</file>